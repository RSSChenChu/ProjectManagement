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inCh\Documents\ProjectManagement\"/>
    </mc:Choice>
  </mc:AlternateContent>
  <xr:revisionPtr revIDLastSave="0" documentId="13_ncr:1_{7028FBB9-3ED8-4D2B-B9BD-BB7368441039}" xr6:coauthVersionLast="47" xr6:coauthVersionMax="47" xr10:uidLastSave="{00000000-0000-0000-0000-000000000000}"/>
  <bookViews>
    <workbookView xWindow="-108" yWindow="-108" windowWidth="23256" windowHeight="12456" xr2:uid="{112DB047-7552-42C9-9ED2-8F2AE23E1317}"/>
  </bookViews>
  <sheets>
    <sheet name="FeasibilityStudy" sheetId="1" r:id="rId1"/>
    <sheet name="ReferenceData" sheetId="2" r:id="rId2"/>
  </sheets>
  <definedNames>
    <definedName name="_xlnm._FilterDatabase" localSheetId="0" hidden="1">FeasibilityStudy!$C$5:$D$9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5" i="1" l="1"/>
  <c r="E74" i="1"/>
  <c r="E73" i="1"/>
  <c r="E72" i="1"/>
  <c r="E71" i="1"/>
  <c r="F71" i="1" s="1"/>
  <c r="B65" i="1"/>
  <c r="B48" i="1"/>
  <c r="B22" i="1"/>
  <c r="B47" i="1"/>
  <c r="B21" i="1"/>
  <c r="B29" i="1"/>
  <c r="B63" i="1"/>
  <c r="E38" i="1"/>
  <c r="E37" i="1"/>
  <c r="E36" i="1"/>
  <c r="E35" i="1"/>
  <c r="E34" i="1"/>
  <c r="F34" i="1" s="1"/>
  <c r="E6" i="1"/>
  <c r="E7" i="1"/>
  <c r="E8" i="1"/>
  <c r="E9" i="1"/>
  <c r="E5" i="1"/>
  <c r="F5" i="1" s="1"/>
  <c r="F72" i="1" l="1"/>
  <c r="F73" i="1" s="1"/>
  <c r="F74" i="1" s="1"/>
  <c r="F75" i="1" s="1"/>
  <c r="F35" i="1"/>
  <c r="F36" i="1" s="1"/>
  <c r="F37" i="1" s="1"/>
  <c r="F38" i="1" s="1"/>
  <c r="F6" i="1"/>
  <c r="F7" i="1" s="1"/>
  <c r="F8" i="1" s="1"/>
  <c r="F9" i="1" s="1"/>
</calcChain>
</file>

<file path=xl/sharedStrings.xml><?xml version="1.0" encoding="utf-8"?>
<sst xmlns="http://schemas.openxmlformats.org/spreadsheetml/2006/main" count="71" uniqueCount="60">
  <si>
    <t>Year</t>
  </si>
  <si>
    <t>Cost</t>
  </si>
  <si>
    <t>Income</t>
  </si>
  <si>
    <t>Net Cash FLow</t>
  </si>
  <si>
    <t>Cumulative Cash Flow</t>
  </si>
  <si>
    <t>Concept</t>
  </si>
  <si>
    <t>Value</t>
  </si>
  <si>
    <t>Unit</t>
  </si>
  <si>
    <t>Discount Rate (k)</t>
  </si>
  <si>
    <t>Percentage</t>
  </si>
  <si>
    <t>Working Days</t>
  </si>
  <si>
    <t>Days/Month</t>
  </si>
  <si>
    <t>Alternative Investment Rate</t>
  </si>
  <si>
    <t>* Cost (Year 0): "Initial capital expenditure required for project launch"</t>
  </si>
  <si>
    <t>* Income: "Revenue generated by the system. Values are assumed to be distributed uniformly throughout each month"</t>
  </si>
  <si>
    <t>* Net Cash Flow: "Total annual liquidity calculated as Income minus Costs"</t>
  </si>
  <si>
    <t>* Cumulative Cash Flow: "The running total of net cash flows, used to identify the break-even point"</t>
  </si>
  <si>
    <t>Exercise 1</t>
  </si>
  <si>
    <t xml:space="preserve">          The project breaks even, as we can see, during Year 3, as that is when the Cumulative Cash Flow turns positive</t>
  </si>
  <si>
    <t xml:space="preserve">          - Net Cash Flow during Year 3: 1300,00 €</t>
  </si>
  <si>
    <t xml:space="preserve">          - Remaining to recover ar start of Year 3: 300,00 €</t>
  </si>
  <si>
    <t>b) Return on Investment (ROI)</t>
  </si>
  <si>
    <t xml:space="preserve">          The ROI measures the total efficiency of the project over 4 years</t>
  </si>
  <si>
    <t xml:space="preserve">          - Total Net Benefit: Sum of all NCF = 2300,00 €</t>
  </si>
  <si>
    <t xml:space="preserve">          - Total Costs: 500 + 800 + 1000 + 1000 + 1000 = 4300,00 €</t>
  </si>
  <si>
    <t>c) 50% Performance in Year 1</t>
  </si>
  <si>
    <t xml:space="preserve">          If Year 1 income drops to 50% (from 1000 € to 500 €)</t>
  </si>
  <si>
    <t xml:space="preserve">          - New NCF Year 1: 500 - 800 = -300,00 €</t>
  </si>
  <si>
    <t xml:space="preserve">          - New Cumulative CF Year 1: -500 - 300 = -800,00 €</t>
  </si>
  <si>
    <t xml:space="preserve">          - New Cumulative CF Year 2: -800 + 0 = -800,00 €</t>
  </si>
  <si>
    <t xml:space="preserve">          - New Cumulative CF Year 3: -800 + 1300 = +500,00 €</t>
  </si>
  <si>
    <t xml:space="preserve">          The project still breaks even in Year 3, but a bit later</t>
  </si>
  <si>
    <t>The adjusted BET is 2 years, 7 months and 8,4 days</t>
  </si>
  <si>
    <t>d) NPV and IRR (for scenario c)</t>
  </si>
  <si>
    <t xml:space="preserve">          Using the discounted rate K = 5%</t>
  </si>
  <si>
    <t xml:space="preserve">          - Flows: -500, -300, 0, +1300, +1300</t>
  </si>
  <si>
    <t xml:space="preserve">          - NPV Calculations:</t>
  </si>
  <si>
    <t xml:space="preserve">                    NPV = -500 + (-300/1,05^1) + (0/1,05^2) + (1300/1,05^3) + (1300/1,05^4)</t>
  </si>
  <si>
    <t xml:space="preserve">                    NPV = -500 - 285,71 + 0 + 1122,99 + 1069,51 = 1406,79 €</t>
  </si>
  <si>
    <t>**Calculated whith the excel formula**</t>
  </si>
  <si>
    <t xml:space="preserve">          - IRR: Solving for r when NPV = 0, you get approximately 45,89%</t>
  </si>
  <si>
    <t>a) Break Even Time</t>
  </si>
  <si>
    <t xml:space="preserve">          - BET --&gt; 2 years,  7 Months and 8.5 days</t>
  </si>
  <si>
    <t xml:space="preserve">          - BET --&gt; 2 years,  2 Months and 17 days</t>
  </si>
  <si>
    <t>Since the IRR (45,89%) is significantly higher than the return on alternative investments (10%), the project is interesting and profitable</t>
  </si>
  <si>
    <t>Exercise 2</t>
  </si>
  <si>
    <t>a) To achieve an IRR of -10% at the end of Year 1, we set NPV to 0:</t>
  </si>
  <si>
    <t xml:space="preserve">          0 = -400 + (X -400)/0.9 --&gt; Solving for X gives 760€</t>
  </si>
  <si>
    <t xml:space="preserve">      Profit must be 160€/year (40x4), meaning Income = 600 + 160 = 760€</t>
  </si>
  <si>
    <t xml:space="preserve">      To break even at month 15 (3 months into Year 2), we need to recover the remaining 40€ deficit</t>
  </si>
  <si>
    <t>b) Costs in Year 2 are 50% higher than Year 1 (400 x 1.5 = 600€)</t>
  </si>
  <si>
    <t>c) With NPV = 1200€ and k = 5%, we solve the DCF equation for Year 3 and 4</t>
  </si>
  <si>
    <t xml:space="preserve">      Resulting in an annual income of 1446,13€</t>
  </si>
  <si>
    <t>d) ROI = (Total Profit/Total Costs) x 100 = 1000%</t>
  </si>
  <si>
    <t xml:space="preserve">      Total Profit = 10 x Total Costs</t>
  </si>
  <si>
    <t xml:space="preserve">      Total Costs = 400 + 400 + 600 + C3 + C4 = 1400 + 2C</t>
  </si>
  <si>
    <t xml:space="preserve">      Total Income = 0 + 760 + 760 + 1446,13 + 1446,13 = 4412,26€</t>
  </si>
  <si>
    <t xml:space="preserve">      (4412,26 - (1400 + 2C)) = 10 x (1400 + 2C) --&gt; 4412,26 = 11 x (1400 + 2C) --&gt; 401,11 = 1400 + 2C</t>
  </si>
  <si>
    <t xml:space="preserve">      To reach an ROI of 1000, costs would need to be negative</t>
  </si>
  <si>
    <t xml:space="preserve">      This indicates that the current income levels are insufficient for such a high return profile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</si>
</sst>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8" x14ac:knownFonts="1">
    <font>
      <sz val="11"/>
      <color theme="1"/>
      <name val="Aptos Narrow"/>
      <family val="2"/>
      <scheme val="minor"/>
    </font>
    <font>
      <sz val="10"/>
      <color rgb="FFFFFFFF"/>
      <name val="Roboto"/>
    </font>
    <font>
      <b/>
      <sz val="10"/>
      <color theme="1"/>
      <name val="Roboto"/>
    </font>
    <font>
      <sz val="10"/>
      <color theme="1"/>
      <name val="Arial"/>
      <family val="2"/>
    </font>
    <font>
      <sz val="10"/>
      <color theme="1"/>
      <name val="Roboto"/>
    </font>
    <font>
      <sz val="10"/>
      <color rgb="FF434343"/>
      <name val="Roboto"/>
    </font>
    <font>
      <sz val="36"/>
      <color theme="1"/>
      <name val="Amasis MT Pro Medium"/>
      <family val="1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535FC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D6D5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9" fontId="5" fillId="6" borderId="4" xfId="0" applyNumberFormat="1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164" fontId="3" fillId="3" borderId="4" xfId="0" applyNumberFormat="1" applyFont="1" applyFill="1" applyBorder="1" applyAlignment="1">
      <alignment horizontal="center" vertical="center" wrapText="1"/>
    </xf>
    <xf numFmtId="164" fontId="4" fillId="4" borderId="4" xfId="0" applyNumberFormat="1" applyFont="1" applyFill="1" applyBorder="1" applyAlignment="1">
      <alignment horizontal="center" vertical="center" wrapText="1"/>
    </xf>
    <xf numFmtId="0" fontId="7" fillId="0" borderId="0" xfId="0" applyFont="1"/>
    <xf numFmtId="0" fontId="0" fillId="0" borderId="0" xfId="0" applyAlignment="1">
      <alignment horizontal="left" vertical="center"/>
    </xf>
    <xf numFmtId="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2A8C3-C4F3-44C3-B42C-C9B988A89C62}">
  <dimension ref="B1:H93"/>
  <sheetViews>
    <sheetView tabSelected="1" topLeftCell="A85" zoomScaleNormal="100" workbookViewId="0">
      <selection activeCell="I91" sqref="I91"/>
    </sheetView>
  </sheetViews>
  <sheetFormatPr baseColWidth="10" defaultRowHeight="14.4" x14ac:dyDescent="0.3"/>
  <cols>
    <col min="1" max="1" width="5.5546875" customWidth="1"/>
    <col min="2" max="2" width="13.33203125" customWidth="1"/>
    <col min="3" max="6" width="22.21875" customWidth="1"/>
  </cols>
  <sheetData>
    <row r="1" spans="2:6" ht="30" customHeight="1" x14ac:dyDescent="0.3"/>
    <row r="2" spans="2:6" ht="30" customHeight="1" x14ac:dyDescent="0.3">
      <c r="B2" s="18" t="s">
        <v>17</v>
      </c>
      <c r="C2" s="18"/>
      <c r="D2" s="18"/>
      <c r="E2" s="18"/>
      <c r="F2" s="18"/>
    </row>
    <row r="3" spans="2:6" ht="30" customHeight="1" thickBot="1" x14ac:dyDescent="0.35"/>
    <row r="4" spans="2:6" ht="15" thickBot="1" x14ac:dyDescent="0.35">
      <c r="B4" s="1" t="s">
        <v>0</v>
      </c>
      <c r="C4" s="2" t="s">
        <v>1</v>
      </c>
      <c r="D4" s="2" t="s">
        <v>2</v>
      </c>
      <c r="E4" s="2" t="s">
        <v>3</v>
      </c>
      <c r="F4" s="2" t="s">
        <v>4</v>
      </c>
    </row>
    <row r="5" spans="2:6" ht="33" customHeight="1" thickBot="1" x14ac:dyDescent="0.35">
      <c r="B5" s="3">
        <v>0</v>
      </c>
      <c r="C5" s="10">
        <v>500</v>
      </c>
      <c r="D5" s="10">
        <v>0</v>
      </c>
      <c r="E5" s="11">
        <f>D5-C5</f>
        <v>-500</v>
      </c>
      <c r="F5" s="11">
        <f>E5</f>
        <v>-500</v>
      </c>
    </row>
    <row r="6" spans="2:6" ht="32.4" customHeight="1" thickBot="1" x14ac:dyDescent="0.35">
      <c r="B6" s="4">
        <v>1</v>
      </c>
      <c r="C6" s="10">
        <v>800</v>
      </c>
      <c r="D6" s="10">
        <v>1000</v>
      </c>
      <c r="E6" s="11">
        <f t="shared" ref="E6:E9" si="0">D6-C6</f>
        <v>200</v>
      </c>
      <c r="F6" s="11">
        <f>F5+E6</f>
        <v>-300</v>
      </c>
    </row>
    <row r="7" spans="2:6" ht="33" customHeight="1" thickBot="1" x14ac:dyDescent="0.35">
      <c r="B7" s="3">
        <v>2</v>
      </c>
      <c r="C7" s="10">
        <v>1000</v>
      </c>
      <c r="D7" s="10">
        <v>1000</v>
      </c>
      <c r="E7" s="11">
        <f t="shared" si="0"/>
        <v>0</v>
      </c>
      <c r="F7" s="11">
        <f>F6+E7</f>
        <v>-300</v>
      </c>
    </row>
    <row r="8" spans="2:6" ht="33" customHeight="1" thickBot="1" x14ac:dyDescent="0.35">
      <c r="B8" s="4">
        <v>3</v>
      </c>
      <c r="C8" s="10">
        <v>1000</v>
      </c>
      <c r="D8" s="10">
        <v>2300</v>
      </c>
      <c r="E8" s="11">
        <f t="shared" si="0"/>
        <v>1300</v>
      </c>
      <c r="F8" s="11">
        <f>F7+E8</f>
        <v>1000</v>
      </c>
    </row>
    <row r="9" spans="2:6" ht="33" customHeight="1" thickBot="1" x14ac:dyDescent="0.35">
      <c r="B9" s="3">
        <v>4</v>
      </c>
      <c r="C9" s="10">
        <v>1000</v>
      </c>
      <c r="D9" s="10">
        <v>2300</v>
      </c>
      <c r="E9" s="11">
        <f t="shared" si="0"/>
        <v>1300</v>
      </c>
      <c r="F9" s="11">
        <f>F8+E9</f>
        <v>2300</v>
      </c>
    </row>
    <row r="11" spans="2:6" x14ac:dyDescent="0.3">
      <c r="B11" s="16" t="s">
        <v>13</v>
      </c>
      <c r="C11" s="16"/>
      <c r="D11" s="16"/>
      <c r="E11" s="16"/>
      <c r="F11" s="16"/>
    </row>
    <row r="12" spans="2:6" x14ac:dyDescent="0.3">
      <c r="B12" s="17" t="s">
        <v>14</v>
      </c>
      <c r="C12" s="17"/>
      <c r="D12" s="17"/>
      <c r="E12" s="17"/>
      <c r="F12" s="17"/>
    </row>
    <row r="13" spans="2:6" x14ac:dyDescent="0.3">
      <c r="B13" s="17" t="s">
        <v>15</v>
      </c>
      <c r="C13" s="17"/>
      <c r="D13" s="17"/>
      <c r="E13" s="17"/>
      <c r="F13" s="17"/>
    </row>
    <row r="14" spans="2:6" x14ac:dyDescent="0.3">
      <c r="B14" s="17" t="s">
        <v>16</v>
      </c>
      <c r="C14" s="17"/>
      <c r="D14" s="17"/>
      <c r="E14" s="17"/>
      <c r="F14" s="17"/>
    </row>
    <row r="17" spans="2:6" x14ac:dyDescent="0.3">
      <c r="B17" s="16" t="s">
        <v>41</v>
      </c>
      <c r="C17" s="16"/>
      <c r="D17" s="16"/>
      <c r="E17" s="16"/>
      <c r="F17" s="16"/>
    </row>
    <row r="18" spans="2:6" x14ac:dyDescent="0.3">
      <c r="B18" s="16" t="s">
        <v>18</v>
      </c>
      <c r="C18" s="16"/>
      <c r="D18" s="16"/>
      <c r="E18" s="16"/>
      <c r="F18" s="16"/>
    </row>
    <row r="19" spans="2:6" x14ac:dyDescent="0.3">
      <c r="B19" s="16" t="s">
        <v>20</v>
      </c>
      <c r="C19" s="16"/>
      <c r="D19" s="16"/>
      <c r="E19" s="16"/>
      <c r="F19" s="16"/>
    </row>
    <row r="20" spans="2:6" x14ac:dyDescent="0.3">
      <c r="B20" s="16" t="s">
        <v>19</v>
      </c>
      <c r="C20" s="16"/>
      <c r="D20" s="16"/>
      <c r="E20" s="16"/>
      <c r="F20" s="16"/>
    </row>
    <row r="21" spans="2:6" x14ac:dyDescent="0.3">
      <c r="B21" s="16" t="str">
        <f>"          - Time Calculation: (300*12)/1300 = "&amp;ROUND(300*12/1300,4)&amp;" --&gt; 2 months"</f>
        <v xml:space="preserve">          - Time Calculation: (300*12)/1300 = 2,7692 --&gt; 2 months</v>
      </c>
      <c r="C21" s="16"/>
      <c r="D21" s="16"/>
      <c r="E21" s="16"/>
      <c r="F21" s="16"/>
    </row>
    <row r="22" spans="2:6" x14ac:dyDescent="0.3">
      <c r="B22" s="16" t="str">
        <f>"                                                        0,7692 * 22 days = "&amp;ROUND(0.7692*22,4)&amp;" days --&gt; 17 days"</f>
        <v xml:space="preserve">                                                        0,7692 * 22 days = 16,9224 days --&gt; 17 days</v>
      </c>
      <c r="C22" s="16"/>
      <c r="D22" s="16"/>
      <c r="E22" s="16"/>
      <c r="F22" s="16"/>
    </row>
    <row r="23" spans="2:6" x14ac:dyDescent="0.3">
      <c r="B23" s="16" t="s">
        <v>43</v>
      </c>
      <c r="C23" s="16"/>
      <c r="D23" s="16"/>
      <c r="E23" s="16"/>
      <c r="F23" s="16"/>
    </row>
    <row r="25" spans="2:6" x14ac:dyDescent="0.3">
      <c r="B25" s="16" t="s">
        <v>21</v>
      </c>
      <c r="C25" s="16"/>
      <c r="D25" s="16"/>
      <c r="E25" s="16"/>
      <c r="F25" s="16"/>
    </row>
    <row r="26" spans="2:6" x14ac:dyDescent="0.3">
      <c r="B26" s="16" t="s">
        <v>22</v>
      </c>
      <c r="C26" s="16"/>
      <c r="D26" s="16"/>
      <c r="E26" s="16"/>
      <c r="F26" s="16"/>
    </row>
    <row r="27" spans="2:6" x14ac:dyDescent="0.3">
      <c r="B27" s="16" t="s">
        <v>23</v>
      </c>
      <c r="C27" s="16"/>
      <c r="D27" s="16"/>
      <c r="E27" s="16"/>
      <c r="F27" s="16"/>
    </row>
    <row r="28" spans="2:6" x14ac:dyDescent="0.3">
      <c r="B28" s="16" t="s">
        <v>24</v>
      </c>
      <c r="C28" s="16"/>
      <c r="D28" s="16"/>
      <c r="E28" s="16"/>
      <c r="F28" s="16"/>
    </row>
    <row r="29" spans="2:6" x14ac:dyDescent="0.3">
      <c r="B29" s="16" t="str">
        <f>"          - Manual Calculation: ROI = (2300/4300) * 100 = "&amp;ROUND((2300/4300)*100,2)&amp;"%"</f>
        <v xml:space="preserve">          - Manual Calculation: ROI = (2300/4300) * 100 = 53,49%</v>
      </c>
      <c r="C29" s="16"/>
      <c r="D29" s="16"/>
      <c r="E29" s="16"/>
      <c r="F29" s="16"/>
    </row>
    <row r="31" spans="2:6" x14ac:dyDescent="0.3">
      <c r="B31" s="16" t="s">
        <v>25</v>
      </c>
      <c r="C31" s="16"/>
      <c r="D31" s="16"/>
      <c r="E31" s="16"/>
      <c r="F31" s="16"/>
    </row>
    <row r="32" spans="2:6" ht="15" thickBot="1" x14ac:dyDescent="0.35">
      <c r="B32" s="13"/>
      <c r="C32" s="13"/>
      <c r="D32" s="13"/>
      <c r="E32" s="13"/>
      <c r="F32" s="13"/>
    </row>
    <row r="33" spans="2:6" ht="15" customHeight="1" thickBot="1" x14ac:dyDescent="0.35">
      <c r="B33" s="1" t="s">
        <v>0</v>
      </c>
      <c r="C33" s="2" t="s">
        <v>1</v>
      </c>
      <c r="D33" s="2" t="s">
        <v>2</v>
      </c>
      <c r="E33" s="2" t="s">
        <v>3</v>
      </c>
      <c r="F33" s="2" t="s">
        <v>4</v>
      </c>
    </row>
    <row r="34" spans="2:6" ht="33" customHeight="1" thickBot="1" x14ac:dyDescent="0.35">
      <c r="B34" s="3">
        <v>0</v>
      </c>
      <c r="C34" s="10">
        <v>500</v>
      </c>
      <c r="D34" s="10">
        <v>0</v>
      </c>
      <c r="E34" s="11">
        <f>D34-C34</f>
        <v>-500</v>
      </c>
      <c r="F34" s="11">
        <f>E34</f>
        <v>-500</v>
      </c>
    </row>
    <row r="35" spans="2:6" ht="33" customHeight="1" thickBot="1" x14ac:dyDescent="0.35">
      <c r="B35" s="4">
        <v>1</v>
      </c>
      <c r="C35" s="10">
        <v>800</v>
      </c>
      <c r="D35" s="10">
        <v>500</v>
      </c>
      <c r="E35" s="11">
        <f t="shared" ref="E35:E38" si="1">D35-C35</f>
        <v>-300</v>
      </c>
      <c r="F35" s="11">
        <f>F34+E35</f>
        <v>-800</v>
      </c>
    </row>
    <row r="36" spans="2:6" ht="33" customHeight="1" thickBot="1" x14ac:dyDescent="0.35">
      <c r="B36" s="3">
        <v>2</v>
      </c>
      <c r="C36" s="10">
        <v>1000</v>
      </c>
      <c r="D36" s="10">
        <v>1000</v>
      </c>
      <c r="E36" s="11">
        <f t="shared" si="1"/>
        <v>0</v>
      </c>
      <c r="F36" s="11">
        <f>F35+E36</f>
        <v>-800</v>
      </c>
    </row>
    <row r="37" spans="2:6" ht="33" customHeight="1" thickBot="1" x14ac:dyDescent="0.35">
      <c r="B37" s="4">
        <v>3</v>
      </c>
      <c r="C37" s="10">
        <v>1000</v>
      </c>
      <c r="D37" s="10">
        <v>2300</v>
      </c>
      <c r="E37" s="11">
        <f t="shared" si="1"/>
        <v>1300</v>
      </c>
      <c r="F37" s="11">
        <f>F36+E37</f>
        <v>500</v>
      </c>
    </row>
    <row r="38" spans="2:6" ht="33" customHeight="1" thickBot="1" x14ac:dyDescent="0.35">
      <c r="B38" s="3">
        <v>4</v>
      </c>
      <c r="C38" s="10">
        <v>1000</v>
      </c>
      <c r="D38" s="10">
        <v>2300</v>
      </c>
      <c r="E38" s="11">
        <f t="shared" si="1"/>
        <v>1300</v>
      </c>
      <c r="F38" s="11">
        <f>F37+E38</f>
        <v>1800</v>
      </c>
    </row>
    <row r="39" spans="2:6" x14ac:dyDescent="0.3">
      <c r="B39" s="13"/>
      <c r="C39" s="13"/>
      <c r="D39" s="13"/>
      <c r="E39" s="13"/>
      <c r="F39" s="13"/>
    </row>
    <row r="40" spans="2:6" x14ac:dyDescent="0.3">
      <c r="B40" s="16" t="s">
        <v>26</v>
      </c>
      <c r="C40" s="16"/>
      <c r="D40" s="16"/>
      <c r="E40" s="16"/>
      <c r="F40" s="16"/>
    </row>
    <row r="41" spans="2:6" x14ac:dyDescent="0.3">
      <c r="B41" s="16" t="s">
        <v>27</v>
      </c>
      <c r="C41" s="16"/>
      <c r="D41" s="16"/>
      <c r="E41" s="16"/>
      <c r="F41" s="16"/>
    </row>
    <row r="42" spans="2:6" x14ac:dyDescent="0.3">
      <c r="B42" s="16" t="s">
        <v>28</v>
      </c>
      <c r="C42" s="16"/>
      <c r="D42" s="16"/>
      <c r="E42" s="16"/>
      <c r="F42" s="16"/>
    </row>
    <row r="43" spans="2:6" x14ac:dyDescent="0.3">
      <c r="B43" s="16" t="s">
        <v>29</v>
      </c>
      <c r="C43" s="16"/>
      <c r="D43" s="16"/>
      <c r="E43" s="16"/>
      <c r="F43" s="16"/>
    </row>
    <row r="44" spans="2:6" x14ac:dyDescent="0.3">
      <c r="B44" s="16" t="s">
        <v>30</v>
      </c>
      <c r="C44" s="16"/>
      <c r="D44" s="16"/>
      <c r="E44" s="16"/>
      <c r="F44" s="16"/>
    </row>
    <row r="46" spans="2:6" x14ac:dyDescent="0.3">
      <c r="B46" s="16" t="s">
        <v>31</v>
      </c>
      <c r="C46" s="16"/>
      <c r="D46" s="16"/>
      <c r="E46" s="16"/>
      <c r="F46" s="16"/>
    </row>
    <row r="47" spans="2:6" x14ac:dyDescent="0.3">
      <c r="B47" s="16" t="str">
        <f>"          - Time Calculation: (800*12)/1300 = "&amp;ROUND((800*12)/1300,4)&amp;" --&gt; 7 months"</f>
        <v xml:space="preserve">          - Time Calculation: (800*12)/1300 = 7,3846 --&gt; 7 months</v>
      </c>
      <c r="C47" s="16"/>
      <c r="D47" s="16"/>
      <c r="E47" s="16"/>
      <c r="F47" s="16"/>
    </row>
    <row r="48" spans="2:6" x14ac:dyDescent="0.3">
      <c r="B48" s="16" t="str">
        <f>"                                                        0,3846 * 22 days = "&amp;ROUND(0.3846*22,4)&amp;" days --&gt; 8.5 days"</f>
        <v xml:space="preserve">                                                        0,3846 * 22 days = 8,4612 days --&gt; 8.5 days</v>
      </c>
      <c r="C48" s="16"/>
      <c r="D48" s="16"/>
      <c r="E48" s="16"/>
      <c r="F48" s="16"/>
    </row>
    <row r="49" spans="2:8" x14ac:dyDescent="0.3">
      <c r="B49" s="16" t="s">
        <v>42</v>
      </c>
      <c r="C49" s="16"/>
      <c r="D49" s="16"/>
      <c r="E49" s="16"/>
      <c r="F49" s="16"/>
    </row>
    <row r="51" spans="2:8" x14ac:dyDescent="0.3">
      <c r="B51" s="16" t="s">
        <v>32</v>
      </c>
      <c r="C51" s="16"/>
      <c r="D51" s="16"/>
      <c r="E51" s="16"/>
      <c r="F51" s="16"/>
    </row>
    <row r="53" spans="2:8" x14ac:dyDescent="0.3">
      <c r="B53" s="16" t="s">
        <v>33</v>
      </c>
      <c r="C53" s="16"/>
      <c r="D53" s="16"/>
      <c r="E53" s="16"/>
      <c r="F53" s="16"/>
    </row>
    <row r="54" spans="2:8" x14ac:dyDescent="0.3">
      <c r="B54" s="16" t="s">
        <v>34</v>
      </c>
      <c r="C54" s="16"/>
      <c r="D54" s="16"/>
      <c r="E54" s="16"/>
      <c r="F54" s="16"/>
    </row>
    <row r="55" spans="2:8" x14ac:dyDescent="0.3">
      <c r="B55" s="13"/>
      <c r="C55" s="13"/>
      <c r="D55" s="13"/>
      <c r="E55" s="13"/>
      <c r="F55" s="13"/>
    </row>
    <row r="56" spans="2:8" x14ac:dyDescent="0.3">
      <c r="B56" s="16" t="s">
        <v>35</v>
      </c>
      <c r="C56" s="16"/>
      <c r="D56" s="16"/>
      <c r="E56" s="16"/>
      <c r="F56" s="16"/>
      <c r="G56" s="13"/>
    </row>
    <row r="57" spans="2:8" x14ac:dyDescent="0.3">
      <c r="B57" s="13"/>
      <c r="C57" s="13"/>
      <c r="D57" s="13"/>
      <c r="E57" s="13"/>
      <c r="F57" s="13"/>
      <c r="G57" s="13"/>
    </row>
    <row r="58" spans="2:8" x14ac:dyDescent="0.3">
      <c r="B58" s="16" t="s">
        <v>36</v>
      </c>
      <c r="C58" s="16"/>
      <c r="D58" s="16"/>
      <c r="E58" s="16"/>
      <c r="F58" s="16"/>
    </row>
    <row r="59" spans="2:8" x14ac:dyDescent="0.3">
      <c r="B59" s="16" t="s">
        <v>37</v>
      </c>
      <c r="C59" s="16"/>
      <c r="D59" s="16"/>
      <c r="E59" s="16"/>
      <c r="F59" s="16"/>
    </row>
    <row r="60" spans="2:8" x14ac:dyDescent="0.3">
      <c r="B60" s="16" t="s">
        <v>38</v>
      </c>
      <c r="C60" s="16"/>
      <c r="D60" s="16"/>
      <c r="E60" s="16"/>
      <c r="F60" s="16"/>
      <c r="H60" s="12"/>
    </row>
    <row r="61" spans="2:8" x14ac:dyDescent="0.3">
      <c r="B61" s="13"/>
      <c r="C61" s="13"/>
      <c r="D61" s="13"/>
      <c r="E61" s="13"/>
      <c r="F61" s="13"/>
      <c r="H61" s="12"/>
    </row>
    <row r="62" spans="2:8" x14ac:dyDescent="0.3">
      <c r="B62" s="16" t="s">
        <v>40</v>
      </c>
      <c r="C62" s="16"/>
      <c r="D62" s="16"/>
      <c r="E62" s="16"/>
      <c r="F62" s="16"/>
    </row>
    <row r="63" spans="2:8" x14ac:dyDescent="0.3">
      <c r="B63" s="15" t="str">
        <f>"IRR = "&amp;IRR(E34:E38)</f>
        <v>IRR = 0,458902575504396</v>
      </c>
      <c r="C63" s="15"/>
      <c r="D63" s="14" t="s">
        <v>39</v>
      </c>
      <c r="E63" s="14"/>
    </row>
    <row r="64" spans="2:8" x14ac:dyDescent="0.3">
      <c r="B64" s="15" t="s">
        <v>44</v>
      </c>
      <c r="C64" s="15"/>
      <c r="D64" s="15"/>
      <c r="E64" s="15"/>
      <c r="F64" s="15"/>
      <c r="G64" s="15"/>
    </row>
    <row r="65" spans="2:6" x14ac:dyDescent="0.3">
      <c r="B65" s="15" t="str">
        <f>"Status: " &amp; IF(IRR(E34:E38) &gt; ReferenceData!C5, "GOOD PROJECT. The IRR of " &amp; TEXT(IRR(E34:E38), "0,00%") &amp; " is higher than the 10% threshold.", "BAD PROJECT. The IRR of " &amp; TEXT(IRR(E34:E38), "0,00%") &amp; " is lower than the 10% threshold.")</f>
        <v>Status: GOOD PROJECT. The IRR of 45,89% is higher than the 10% threshold.</v>
      </c>
      <c r="C65" s="15"/>
      <c r="D65" s="15"/>
      <c r="E65" s="15"/>
      <c r="F65" s="15"/>
    </row>
    <row r="68" spans="2:6" ht="46.2" x14ac:dyDescent="0.3">
      <c r="B68" s="18" t="s">
        <v>45</v>
      </c>
      <c r="C68" s="18"/>
      <c r="D68" s="18"/>
      <c r="E68" s="18"/>
      <c r="F68" s="18"/>
    </row>
    <row r="69" spans="2:6" ht="30" customHeight="1" thickBot="1" x14ac:dyDescent="0.35"/>
    <row r="70" spans="2:6" ht="15" thickBot="1" x14ac:dyDescent="0.35">
      <c r="B70" s="1" t="s">
        <v>0</v>
      </c>
      <c r="C70" s="2" t="s">
        <v>1</v>
      </c>
      <c r="D70" s="2" t="s">
        <v>2</v>
      </c>
      <c r="E70" s="2" t="s">
        <v>3</v>
      </c>
      <c r="F70" s="2" t="s">
        <v>4</v>
      </c>
    </row>
    <row r="71" spans="2:6" ht="33" customHeight="1" thickBot="1" x14ac:dyDescent="0.35">
      <c r="B71" s="3">
        <v>0</v>
      </c>
      <c r="C71" s="10">
        <v>400</v>
      </c>
      <c r="D71" s="10">
        <v>0</v>
      </c>
      <c r="E71" s="11">
        <f>D71-C71</f>
        <v>-400</v>
      </c>
      <c r="F71" s="11">
        <f>E71</f>
        <v>-400</v>
      </c>
    </row>
    <row r="72" spans="2:6" ht="33" customHeight="1" thickBot="1" x14ac:dyDescent="0.35">
      <c r="B72" s="4">
        <v>1</v>
      </c>
      <c r="C72" s="10">
        <v>400</v>
      </c>
      <c r="D72" s="10">
        <v>760</v>
      </c>
      <c r="E72" s="11">
        <f t="shared" ref="E72:E75" si="2">D72-C72</f>
        <v>360</v>
      </c>
      <c r="F72" s="11">
        <f>F71+E72</f>
        <v>-40</v>
      </c>
    </row>
    <row r="73" spans="2:6" ht="33" customHeight="1" thickBot="1" x14ac:dyDescent="0.35">
      <c r="B73" s="3">
        <v>2</v>
      </c>
      <c r="C73" s="10">
        <v>600</v>
      </c>
      <c r="D73" s="10">
        <v>760</v>
      </c>
      <c r="E73" s="11">
        <f t="shared" si="2"/>
        <v>160</v>
      </c>
      <c r="F73" s="11">
        <f>F72+E73</f>
        <v>120</v>
      </c>
    </row>
    <row r="74" spans="2:6" ht="33" customHeight="1" thickBot="1" x14ac:dyDescent="0.35">
      <c r="B74" s="4">
        <v>3</v>
      </c>
      <c r="C74" s="10">
        <v>600</v>
      </c>
      <c r="D74" s="10">
        <v>1446.13</v>
      </c>
      <c r="E74" s="11">
        <f t="shared" si="2"/>
        <v>846.13000000000011</v>
      </c>
      <c r="F74" s="11">
        <f>F73+E74</f>
        <v>966.13000000000011</v>
      </c>
    </row>
    <row r="75" spans="2:6" ht="33" customHeight="1" thickBot="1" x14ac:dyDescent="0.35">
      <c r="B75" s="3">
        <v>4</v>
      </c>
      <c r="C75" s="10">
        <v>600</v>
      </c>
      <c r="D75" s="10">
        <v>1446.13</v>
      </c>
      <c r="E75" s="11">
        <f t="shared" si="2"/>
        <v>846.13000000000011</v>
      </c>
      <c r="F75" s="11">
        <f>F74+E75</f>
        <v>1812.2600000000002</v>
      </c>
    </row>
    <row r="77" spans="2:6" x14ac:dyDescent="0.3">
      <c r="B77" s="16" t="s">
        <v>46</v>
      </c>
      <c r="C77" s="16"/>
      <c r="D77" s="16"/>
      <c r="E77" s="16"/>
      <c r="F77" s="16"/>
    </row>
    <row r="78" spans="2:6" x14ac:dyDescent="0.3">
      <c r="B78" s="16" t="s">
        <v>47</v>
      </c>
      <c r="C78" s="16"/>
      <c r="D78" s="16"/>
      <c r="E78" s="16"/>
      <c r="F78" s="16"/>
    </row>
    <row r="80" spans="2:6" x14ac:dyDescent="0.3">
      <c r="B80" s="16" t="s">
        <v>50</v>
      </c>
      <c r="C80" s="16"/>
      <c r="D80" s="16"/>
      <c r="E80" s="16"/>
      <c r="F80" s="16"/>
    </row>
    <row r="81" spans="2:6" x14ac:dyDescent="0.3">
      <c r="B81" s="16" t="s">
        <v>49</v>
      </c>
      <c r="C81" s="16"/>
      <c r="D81" s="16"/>
      <c r="E81" s="16"/>
      <c r="F81" s="16"/>
    </row>
    <row r="82" spans="2:6" x14ac:dyDescent="0.3">
      <c r="B82" s="16" t="s">
        <v>48</v>
      </c>
      <c r="C82" s="16"/>
      <c r="D82" s="16"/>
      <c r="E82" s="16"/>
      <c r="F82" s="16"/>
    </row>
    <row r="84" spans="2:6" x14ac:dyDescent="0.3">
      <c r="B84" s="16" t="s">
        <v>51</v>
      </c>
      <c r="C84" s="16"/>
      <c r="D84" s="16"/>
      <c r="E84" s="16"/>
      <c r="F84" s="16"/>
    </row>
    <row r="85" spans="2:6" x14ac:dyDescent="0.3">
      <c r="B85" s="16" t="s">
        <v>52</v>
      </c>
      <c r="C85" s="16"/>
      <c r="D85" s="16"/>
      <c r="E85" s="16"/>
      <c r="F85" s="16"/>
    </row>
    <row r="87" spans="2:6" x14ac:dyDescent="0.3">
      <c r="B87" s="16" t="s">
        <v>53</v>
      </c>
      <c r="C87" s="16"/>
      <c r="D87" s="16"/>
      <c r="E87" s="16"/>
      <c r="F87" s="16"/>
    </row>
    <row r="88" spans="2:6" x14ac:dyDescent="0.3">
      <c r="B88" s="16" t="s">
        <v>54</v>
      </c>
      <c r="C88" s="16"/>
      <c r="D88" s="16"/>
      <c r="E88" s="16"/>
      <c r="F88" s="16"/>
    </row>
    <row r="89" spans="2:6" x14ac:dyDescent="0.3">
      <c r="B89" s="16" t="s">
        <v>55</v>
      </c>
      <c r="C89" s="16"/>
      <c r="D89" s="16"/>
      <c r="E89" s="16"/>
      <c r="F89" s="16"/>
    </row>
    <row r="90" spans="2:6" x14ac:dyDescent="0.3">
      <c r="B90" s="16" t="s">
        <v>56</v>
      </c>
      <c r="C90" s="16"/>
      <c r="D90" s="16"/>
      <c r="E90" s="16"/>
      <c r="F90" s="16"/>
    </row>
    <row r="91" spans="2:6" x14ac:dyDescent="0.3">
      <c r="B91" s="16" t="s">
        <v>57</v>
      </c>
      <c r="C91" s="16"/>
      <c r="D91" s="16"/>
      <c r="E91" s="16"/>
      <c r="F91" s="16"/>
    </row>
    <row r="92" spans="2:6" x14ac:dyDescent="0.3">
      <c r="B92" s="16" t="s">
        <v>58</v>
      </c>
      <c r="C92" s="16"/>
      <c r="D92" s="16"/>
      <c r="E92" s="16"/>
      <c r="F92" s="16"/>
    </row>
    <row r="93" spans="2:6" x14ac:dyDescent="0.3">
      <c r="B93" s="16" t="s">
        <v>59</v>
      </c>
      <c r="C93" s="16"/>
      <c r="D93" s="16"/>
      <c r="E93" s="16"/>
      <c r="F93" s="16"/>
    </row>
  </sheetData>
  <mergeCells count="53">
    <mergeCell ref="B89:F89"/>
    <mergeCell ref="B90:F90"/>
    <mergeCell ref="B91:F91"/>
    <mergeCell ref="B92:F92"/>
    <mergeCell ref="B93:F93"/>
    <mergeCell ref="B82:F82"/>
    <mergeCell ref="B84:F84"/>
    <mergeCell ref="B85:F85"/>
    <mergeCell ref="B87:F87"/>
    <mergeCell ref="B88:F88"/>
    <mergeCell ref="B68:F68"/>
    <mergeCell ref="B77:F77"/>
    <mergeCell ref="B78:F78"/>
    <mergeCell ref="B80:F80"/>
    <mergeCell ref="B81:F81"/>
    <mergeCell ref="B51:F51"/>
    <mergeCell ref="B64:G64"/>
    <mergeCell ref="B63:C63"/>
    <mergeCell ref="B54:F54"/>
    <mergeCell ref="B56:F56"/>
    <mergeCell ref="B58:F58"/>
    <mergeCell ref="B59:F59"/>
    <mergeCell ref="B60:F60"/>
    <mergeCell ref="B62:F62"/>
    <mergeCell ref="B2:F2"/>
    <mergeCell ref="B29:F29"/>
    <mergeCell ref="B20:F20"/>
    <mergeCell ref="B17:F17"/>
    <mergeCell ref="B18:F18"/>
    <mergeCell ref="B19:F19"/>
    <mergeCell ref="B21:F21"/>
    <mergeCell ref="B22:F22"/>
    <mergeCell ref="B23:F23"/>
    <mergeCell ref="B25:F25"/>
    <mergeCell ref="B26:F26"/>
    <mergeCell ref="B27:F27"/>
    <mergeCell ref="B28:F28"/>
    <mergeCell ref="B65:F65"/>
    <mergeCell ref="B11:F11"/>
    <mergeCell ref="B12:F12"/>
    <mergeCell ref="B13:F13"/>
    <mergeCell ref="B14:F14"/>
    <mergeCell ref="B53:F53"/>
    <mergeCell ref="B31:F31"/>
    <mergeCell ref="B40:F40"/>
    <mergeCell ref="B41:F41"/>
    <mergeCell ref="B42:F42"/>
    <mergeCell ref="B43:F43"/>
    <mergeCell ref="B44:F44"/>
    <mergeCell ref="B46:F46"/>
    <mergeCell ref="B47:F47"/>
    <mergeCell ref="B48:F48"/>
    <mergeCell ref="B49:F49"/>
  </mergeCells>
  <dataValidations count="1">
    <dataValidation type="decimal" operator="greaterThanOrEqual" allowBlank="1" showInputMessage="1" showErrorMessage="1" errorTitle="Invalid Entry" error="Please enter a positive numeric value (e.g., 1234,56)" sqref="C5:D9 C34:D38 C71:D75" xr:uid="{D0791DB1-D684-4D7E-A456-DA8AC201638A}">
      <formula1>0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A6522-635A-4D31-80DE-B155C642CD64}">
  <dimension ref="B1:D5"/>
  <sheetViews>
    <sheetView workbookViewId="0">
      <selection activeCell="C5" sqref="C5"/>
    </sheetView>
  </sheetViews>
  <sheetFormatPr baseColWidth="10" defaultRowHeight="14.4" x14ac:dyDescent="0.3"/>
  <cols>
    <col min="1" max="1" width="5.6640625" customWidth="1"/>
    <col min="2" max="2" width="27.77734375" customWidth="1"/>
    <col min="3" max="4" width="16.6640625" customWidth="1"/>
  </cols>
  <sheetData>
    <row r="1" spans="2:4" ht="29.4" customHeight="1" thickBot="1" x14ac:dyDescent="0.35"/>
    <row r="2" spans="2:4" ht="30" customHeight="1" thickBot="1" x14ac:dyDescent="0.35">
      <c r="B2" s="1" t="s">
        <v>5</v>
      </c>
      <c r="C2" s="2" t="s">
        <v>6</v>
      </c>
      <c r="D2" s="2" t="s">
        <v>7</v>
      </c>
    </row>
    <row r="3" spans="2:4" ht="30" customHeight="1" thickBot="1" x14ac:dyDescent="0.35">
      <c r="B3" s="5" t="s">
        <v>8</v>
      </c>
      <c r="C3" s="6">
        <v>0.05</v>
      </c>
      <c r="D3" s="7" t="s">
        <v>9</v>
      </c>
    </row>
    <row r="4" spans="2:4" ht="30" customHeight="1" thickBot="1" x14ac:dyDescent="0.35">
      <c r="B4" s="8" t="s">
        <v>10</v>
      </c>
      <c r="C4" s="9">
        <v>22</v>
      </c>
      <c r="D4" s="9" t="s">
        <v>11</v>
      </c>
    </row>
    <row r="5" spans="2:4" ht="30" customHeight="1" thickBot="1" x14ac:dyDescent="0.35">
      <c r="B5" s="5" t="s">
        <v>12</v>
      </c>
      <c r="C5" s="6">
        <v>0.1</v>
      </c>
      <c r="D5" s="7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FeasibilityStudy</vt:lpstr>
      <vt:lpstr>ReferenceData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 Shenchu</dc:creator>
  <cp:lastModifiedBy>Jin Shenchu</cp:lastModifiedBy>
  <dcterms:created xsi:type="dcterms:W3CDTF">2026-03-04T14:33:17Z</dcterms:created>
  <dcterms:modified xsi:type="dcterms:W3CDTF">2026-03-21T16:34:39Z</dcterms:modified>
</cp:coreProperties>
</file>