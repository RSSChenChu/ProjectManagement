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Ch\Documents\ProjectManagement\"/>
    </mc:Choice>
  </mc:AlternateContent>
  <xr:revisionPtr revIDLastSave="0" documentId="13_ncr:1_{42E4FEBF-1604-40FD-A7C8-3CCC47865FC5}" xr6:coauthVersionLast="47" xr6:coauthVersionMax="47" xr10:uidLastSave="{00000000-0000-0000-0000-000000000000}"/>
  <bookViews>
    <workbookView xWindow="-108" yWindow="-108" windowWidth="23256" windowHeight="12456" xr2:uid="{112DB047-7552-42C9-9ED2-8F2AE23E1317}"/>
  </bookViews>
  <sheets>
    <sheet name="FeasibilityStudy" sheetId="1" r:id="rId1"/>
    <sheet name="ReferenceData" sheetId="2" r:id="rId2"/>
  </sheets>
  <definedNames>
    <definedName name="_xlnm._FilterDatabase" localSheetId="0" hidden="1">FeasibilityStudy!$C$5:$D$9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E38" i="1"/>
  <c r="E37" i="1"/>
  <c r="E36" i="1"/>
  <c r="E35" i="1"/>
  <c r="E34" i="1"/>
  <c r="F34" i="1" s="1"/>
  <c r="E6" i="1"/>
  <c r="E7" i="1"/>
  <c r="E8" i="1"/>
  <c r="E9" i="1"/>
  <c r="E5" i="1"/>
  <c r="F5" i="1" s="1"/>
  <c r="F35" i="1" l="1"/>
  <c r="F36" i="1" s="1"/>
  <c r="F37" i="1" s="1"/>
  <c r="F38" i="1" s="1"/>
  <c r="F6" i="1"/>
  <c r="F7" i="1" s="1"/>
  <c r="F8" i="1" s="1"/>
  <c r="F9" i="1" s="1"/>
</calcChain>
</file>

<file path=xl/sharedStrings.xml><?xml version="1.0" encoding="utf-8"?>
<sst xmlns="http://schemas.openxmlformats.org/spreadsheetml/2006/main" count="56" uniqueCount="50">
  <si>
    <t>Year</t>
  </si>
  <si>
    <t>Cost</t>
  </si>
  <si>
    <t>Income</t>
  </si>
  <si>
    <t>Net Cash FLow</t>
  </si>
  <si>
    <t>Cumulative Cash Flow</t>
  </si>
  <si>
    <t>Concept</t>
  </si>
  <si>
    <t>Value</t>
  </si>
  <si>
    <t>Unit</t>
  </si>
  <si>
    <t>Discount Rate (k)</t>
  </si>
  <si>
    <t>Percentage</t>
  </si>
  <si>
    <t>Working Days</t>
  </si>
  <si>
    <t>Days/Month</t>
  </si>
  <si>
    <t>Alternative Investment Rate</t>
  </si>
  <si>
    <t>* Cost (Year 0): "Initial capital expenditure required for project launch"</t>
  </si>
  <si>
    <t>* Income: "Revenue generated by the system. Values are assumed to be distributed uniformly throughout each month"</t>
  </si>
  <si>
    <t>* Net Cash Flow: "Total annual liquidity calculated as Income minus Costs"</t>
  </si>
  <si>
    <t>* Cumulative Cash Flow: "The running total of net cash flows, used to identify the break-even point"</t>
  </si>
  <si>
    <t>Exercise 1</t>
  </si>
  <si>
    <t>a) Break Even Point</t>
  </si>
  <si>
    <t xml:space="preserve">          The project breaks even, as we can see, during Year 3, as that is when the Cumulative Cash Flow turns positive</t>
  </si>
  <si>
    <t xml:space="preserve">          - Net Cash Flow during Year 3: 1300,00 €</t>
  </si>
  <si>
    <t xml:space="preserve">          - Remaining to recover ar start of Year 3: 300,00 €</t>
  </si>
  <si>
    <t>b) Return on Investment (ROI)</t>
  </si>
  <si>
    <t xml:space="preserve">          The ROI measures the total efficiency of the project over 4 years</t>
  </si>
  <si>
    <t xml:space="preserve">          - Total Net Benefit: Sum of all NCF = 2300,00 €</t>
  </si>
  <si>
    <t xml:space="preserve">          - Total Costs: 500 + 800 + 1000 + 1000 + 1000 = 4300,00 €</t>
  </si>
  <si>
    <t xml:space="preserve">          - Manual Calculation: ROI = (2300/4300) * 100 = 53,49%</t>
  </si>
  <si>
    <t>c) 50% Performance in Year 1</t>
  </si>
  <si>
    <t xml:space="preserve">          If Year 1 income drops to 50% (from 1000 € to 500 €)</t>
  </si>
  <si>
    <t xml:space="preserve">          - New NCF Year 1: 500 - 800 = -300,00 €</t>
  </si>
  <si>
    <t xml:space="preserve">          - New Cumulative CF Year 1: -500 - 300 = -800,00 €</t>
  </si>
  <si>
    <t xml:space="preserve">          - New Cumulative CF Year 2: -800 + 0 = -800,00 €</t>
  </si>
  <si>
    <t xml:space="preserve">          - New Cumulative CF Year 3: -800 + 1300 = +500,00 €</t>
  </si>
  <si>
    <t xml:space="preserve">          The project still breaks even in Year 3, but a bit later</t>
  </si>
  <si>
    <t xml:space="preserve">          - Time Calculation: 800/1300 = 0,6154 years</t>
  </si>
  <si>
    <t xml:space="preserve">          - Time Calculation: 300/1300 = 0,2307 years</t>
  </si>
  <si>
    <t xml:space="preserve">          - Months: 0,2307 * 12 months = 2,769 months --&gt; 2 months</t>
  </si>
  <si>
    <t xml:space="preserve">          - Days: 0,769 * 22 working days = 16,92 days --&gt; 17 days</t>
  </si>
  <si>
    <t xml:space="preserve">          - Months: 0,6154 * 12 = 7,38 months --&gt; 7 months</t>
  </si>
  <si>
    <t xml:space="preserve">          - Days: 0,38 * 22 = 8,36 days --&gt; 8,4 days</t>
  </si>
  <si>
    <t>The adjusted BET is 2 years, 7 months and 8,4 days</t>
  </si>
  <si>
    <t>d) NPV and IRR (for scenario c)</t>
  </si>
  <si>
    <t xml:space="preserve">          Using the discounted rate K = 5%</t>
  </si>
  <si>
    <t xml:space="preserve">          - Flows: -500, -300, 0, +1300, +1300</t>
  </si>
  <si>
    <t xml:space="preserve">          - NPV Calculations:</t>
  </si>
  <si>
    <t xml:space="preserve">                    NPV = -500 + (-300/1,05^1) + (0/1,05^2) + (1300/1,05^3) + (1300/1,05^4)</t>
  </si>
  <si>
    <t xml:space="preserve">                    NPV = -500 - 285,71 + 0 + 1122,99 + 1069,51 = 1406,79 €</t>
  </si>
  <si>
    <t>Since the IRR (28,32%) is significantly higher than the return on alternative investments (10%), the project is interesting and profitable</t>
  </si>
  <si>
    <t>**Calculated whith the excel formula**</t>
  </si>
  <si>
    <t xml:space="preserve">          - IRR: Solving for r when NPV = 0, you get approximately 45,89%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</si>
</sst>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b/>
      <sz val="10"/>
      <color theme="1"/>
      <name val="Roboto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434343"/>
      <name val="Roboto"/>
    </font>
    <font>
      <sz val="36"/>
      <color theme="1"/>
      <name val="Amasis MT Pro Medium"/>
      <family val="1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D6D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9" fontId="5" fillId="6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A8C3-C4F3-44C3-B42C-C9B988A89C62}">
  <dimension ref="B1:H64"/>
  <sheetViews>
    <sheetView tabSelected="1" topLeftCell="A9" workbookViewId="0">
      <selection activeCell="G27" sqref="G27"/>
    </sheetView>
  </sheetViews>
  <sheetFormatPr baseColWidth="10" defaultRowHeight="14.4" x14ac:dyDescent="0.3"/>
  <cols>
    <col min="1" max="1" width="5.5546875" customWidth="1"/>
    <col min="2" max="2" width="13.33203125" customWidth="1"/>
    <col min="3" max="6" width="22.21875" customWidth="1"/>
  </cols>
  <sheetData>
    <row r="1" spans="2:6" ht="30" customHeight="1" x14ac:dyDescent="0.3"/>
    <row r="2" spans="2:6" ht="30" customHeight="1" x14ac:dyDescent="0.3">
      <c r="B2" s="16" t="s">
        <v>17</v>
      </c>
      <c r="C2" s="16"/>
      <c r="D2" s="16"/>
      <c r="E2" s="16"/>
      <c r="F2" s="16"/>
    </row>
    <row r="3" spans="2:6" ht="30" customHeight="1" thickBot="1" x14ac:dyDescent="0.35"/>
    <row r="4" spans="2:6" ht="1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ht="33" customHeight="1" thickBot="1" x14ac:dyDescent="0.35">
      <c r="B5" s="3">
        <v>0</v>
      </c>
      <c r="C5" s="10">
        <v>500</v>
      </c>
      <c r="D5" s="10">
        <v>0</v>
      </c>
      <c r="E5" s="11">
        <f>D5-C5</f>
        <v>-500</v>
      </c>
      <c r="F5" s="11">
        <f>E5</f>
        <v>-500</v>
      </c>
    </row>
    <row r="6" spans="2:6" ht="32.4" customHeight="1" thickBot="1" x14ac:dyDescent="0.35">
      <c r="B6" s="4">
        <v>1</v>
      </c>
      <c r="C6" s="10">
        <v>800</v>
      </c>
      <c r="D6" s="10">
        <v>1000</v>
      </c>
      <c r="E6" s="11">
        <f t="shared" ref="E6:E9" si="0">D6-C6</f>
        <v>200</v>
      </c>
      <c r="F6" s="11">
        <f>F5+E6</f>
        <v>-300</v>
      </c>
    </row>
    <row r="7" spans="2:6" ht="33" customHeight="1" thickBot="1" x14ac:dyDescent="0.35">
      <c r="B7" s="3">
        <v>2</v>
      </c>
      <c r="C7" s="10">
        <v>1000</v>
      </c>
      <c r="D7" s="10">
        <v>1000</v>
      </c>
      <c r="E7" s="11">
        <f t="shared" si="0"/>
        <v>0</v>
      </c>
      <c r="F7" s="11">
        <f>F6+E7</f>
        <v>-300</v>
      </c>
    </row>
    <row r="8" spans="2:6" ht="33" customHeight="1" thickBot="1" x14ac:dyDescent="0.35">
      <c r="B8" s="4">
        <v>3</v>
      </c>
      <c r="C8" s="10">
        <v>1000</v>
      </c>
      <c r="D8" s="10">
        <v>2300</v>
      </c>
      <c r="E8" s="11">
        <f t="shared" si="0"/>
        <v>1300</v>
      </c>
      <c r="F8" s="11">
        <f>F7+E8</f>
        <v>1000</v>
      </c>
    </row>
    <row r="9" spans="2:6" ht="33" customHeight="1" thickBot="1" x14ac:dyDescent="0.35">
      <c r="B9" s="3">
        <v>4</v>
      </c>
      <c r="C9" s="10">
        <v>1000</v>
      </c>
      <c r="D9" s="10">
        <v>2300</v>
      </c>
      <c r="E9" s="11">
        <f t="shared" si="0"/>
        <v>1300</v>
      </c>
      <c r="F9" s="11">
        <f>F8+E9</f>
        <v>2300</v>
      </c>
    </row>
    <row r="11" spans="2:6" x14ac:dyDescent="0.3">
      <c r="B11" s="14" t="s">
        <v>13</v>
      </c>
      <c r="C11" s="14"/>
      <c r="D11" s="14"/>
      <c r="E11" s="14"/>
      <c r="F11" s="14"/>
    </row>
    <row r="12" spans="2:6" x14ac:dyDescent="0.3">
      <c r="B12" s="15" t="s">
        <v>14</v>
      </c>
      <c r="C12" s="15"/>
      <c r="D12" s="15"/>
      <c r="E12" s="15"/>
      <c r="F12" s="15"/>
    </row>
    <row r="13" spans="2:6" x14ac:dyDescent="0.3">
      <c r="B13" s="15" t="s">
        <v>15</v>
      </c>
      <c r="C13" s="15"/>
      <c r="D13" s="15"/>
      <c r="E13" s="15"/>
      <c r="F13" s="15"/>
    </row>
    <row r="14" spans="2:6" x14ac:dyDescent="0.3">
      <c r="B14" s="15" t="s">
        <v>16</v>
      </c>
      <c r="C14" s="15"/>
      <c r="D14" s="15"/>
      <c r="E14" s="15"/>
      <c r="F14" s="15"/>
    </row>
    <row r="17" spans="2:6" x14ac:dyDescent="0.3">
      <c r="B17" s="14" t="s">
        <v>18</v>
      </c>
      <c r="C17" s="14"/>
      <c r="D17" s="14"/>
      <c r="E17" s="14"/>
      <c r="F17" s="14"/>
    </row>
    <row r="18" spans="2:6" x14ac:dyDescent="0.3">
      <c r="B18" s="14" t="s">
        <v>19</v>
      </c>
      <c r="C18" s="14"/>
      <c r="D18" s="14"/>
      <c r="E18" s="14"/>
      <c r="F18" s="14"/>
    </row>
    <row r="19" spans="2:6" x14ac:dyDescent="0.3">
      <c r="B19" s="14" t="s">
        <v>21</v>
      </c>
      <c r="C19" s="14"/>
      <c r="D19" s="14"/>
      <c r="E19" s="14"/>
      <c r="F19" s="14"/>
    </row>
    <row r="20" spans="2:6" x14ac:dyDescent="0.3">
      <c r="B20" s="14" t="s">
        <v>20</v>
      </c>
      <c r="C20" s="14"/>
      <c r="D20" s="14"/>
      <c r="E20" s="14"/>
      <c r="F20" s="14"/>
    </row>
    <row r="21" spans="2:6" x14ac:dyDescent="0.3">
      <c r="B21" s="19" t="s">
        <v>35</v>
      </c>
      <c r="C21" s="19"/>
      <c r="D21" s="19"/>
      <c r="E21" s="19"/>
      <c r="F21" s="19"/>
    </row>
    <row r="22" spans="2:6" x14ac:dyDescent="0.3">
      <c r="B22" s="14" t="s">
        <v>36</v>
      </c>
      <c r="C22" s="14"/>
      <c r="D22" s="14"/>
      <c r="E22" s="14"/>
      <c r="F22" s="14"/>
    </row>
    <row r="23" spans="2:6" x14ac:dyDescent="0.3">
      <c r="B23" s="14" t="s">
        <v>37</v>
      </c>
      <c r="C23" s="14"/>
      <c r="D23" s="14"/>
      <c r="E23" s="14"/>
      <c r="F23" s="14"/>
    </row>
    <row r="25" spans="2:6" x14ac:dyDescent="0.3">
      <c r="B25" s="14" t="s">
        <v>22</v>
      </c>
      <c r="C25" s="14"/>
      <c r="D25" s="14"/>
      <c r="E25" s="14"/>
      <c r="F25" s="14"/>
    </row>
    <row r="26" spans="2:6" x14ac:dyDescent="0.3">
      <c r="B26" s="14" t="s">
        <v>23</v>
      </c>
      <c r="C26" s="14"/>
      <c r="D26" s="14"/>
      <c r="E26" s="14"/>
      <c r="F26" s="14"/>
    </row>
    <row r="27" spans="2:6" x14ac:dyDescent="0.3">
      <c r="B27" s="14" t="s">
        <v>24</v>
      </c>
      <c r="C27" s="14"/>
      <c r="D27" s="14"/>
      <c r="E27" s="14"/>
      <c r="F27" s="14"/>
    </row>
    <row r="28" spans="2:6" x14ac:dyDescent="0.3">
      <c r="B28" s="14" t="s">
        <v>25</v>
      </c>
      <c r="C28" s="14"/>
      <c r="D28" s="14"/>
      <c r="E28" s="14"/>
      <c r="F28" s="14"/>
    </row>
    <row r="29" spans="2:6" x14ac:dyDescent="0.3">
      <c r="B29" s="14" t="s">
        <v>26</v>
      </c>
      <c r="C29" s="14"/>
      <c r="D29" s="14"/>
      <c r="E29" s="14"/>
      <c r="F29" s="14"/>
    </row>
    <row r="31" spans="2:6" x14ac:dyDescent="0.3">
      <c r="B31" s="14" t="s">
        <v>27</v>
      </c>
      <c r="C31" s="14"/>
      <c r="D31" s="14"/>
      <c r="E31" s="14"/>
      <c r="F31" s="14"/>
    </row>
    <row r="32" spans="2:6" ht="15" thickBot="1" x14ac:dyDescent="0.35">
      <c r="B32" s="13"/>
      <c r="C32" s="13"/>
      <c r="D32" s="13"/>
      <c r="E32" s="13"/>
      <c r="F32" s="13"/>
    </row>
    <row r="33" spans="2:6" ht="15" customHeight="1" thickBot="1" x14ac:dyDescent="0.35">
      <c r="B33" s="1" t="s">
        <v>0</v>
      </c>
      <c r="C33" s="2" t="s">
        <v>1</v>
      </c>
      <c r="D33" s="2" t="s">
        <v>2</v>
      </c>
      <c r="E33" s="2" t="s">
        <v>3</v>
      </c>
      <c r="F33" s="2" t="s">
        <v>4</v>
      </c>
    </row>
    <row r="34" spans="2:6" ht="33" customHeight="1" thickBot="1" x14ac:dyDescent="0.35">
      <c r="B34" s="3">
        <v>0</v>
      </c>
      <c r="C34" s="10">
        <v>500</v>
      </c>
      <c r="D34" s="10">
        <v>0</v>
      </c>
      <c r="E34" s="11">
        <f>D34-C34</f>
        <v>-500</v>
      </c>
      <c r="F34" s="11">
        <f>E34</f>
        <v>-500</v>
      </c>
    </row>
    <row r="35" spans="2:6" ht="33" customHeight="1" thickBot="1" x14ac:dyDescent="0.35">
      <c r="B35" s="4">
        <v>1</v>
      </c>
      <c r="C35" s="10">
        <v>800</v>
      </c>
      <c r="D35" s="10">
        <v>500</v>
      </c>
      <c r="E35" s="11">
        <f t="shared" ref="E35:E38" si="1">D35-C35</f>
        <v>-300</v>
      </c>
      <c r="F35" s="11">
        <f>F34+E35</f>
        <v>-800</v>
      </c>
    </row>
    <row r="36" spans="2:6" ht="33" customHeight="1" thickBot="1" x14ac:dyDescent="0.35">
      <c r="B36" s="3">
        <v>2</v>
      </c>
      <c r="C36" s="10">
        <v>1000</v>
      </c>
      <c r="D36" s="10">
        <v>1000</v>
      </c>
      <c r="E36" s="11">
        <f t="shared" si="1"/>
        <v>0</v>
      </c>
      <c r="F36" s="11">
        <f>F35+E36</f>
        <v>-800</v>
      </c>
    </row>
    <row r="37" spans="2:6" ht="33" customHeight="1" thickBot="1" x14ac:dyDescent="0.35">
      <c r="B37" s="4">
        <v>3</v>
      </c>
      <c r="C37" s="10">
        <v>1000</v>
      </c>
      <c r="D37" s="10">
        <v>2300</v>
      </c>
      <c r="E37" s="11">
        <f t="shared" si="1"/>
        <v>1300</v>
      </c>
      <c r="F37" s="11">
        <f>F36+E37</f>
        <v>500</v>
      </c>
    </row>
    <row r="38" spans="2:6" ht="33" customHeight="1" thickBot="1" x14ac:dyDescent="0.35">
      <c r="B38" s="3">
        <v>4</v>
      </c>
      <c r="C38" s="10">
        <v>1000</v>
      </c>
      <c r="D38" s="10">
        <v>2300</v>
      </c>
      <c r="E38" s="11">
        <f t="shared" si="1"/>
        <v>1300</v>
      </c>
      <c r="F38" s="11">
        <f>F37+E38</f>
        <v>1800</v>
      </c>
    </row>
    <row r="39" spans="2:6" x14ac:dyDescent="0.3">
      <c r="B39" s="13"/>
      <c r="C39" s="13"/>
      <c r="D39" s="13"/>
      <c r="E39" s="13"/>
      <c r="F39" s="13"/>
    </row>
    <row r="40" spans="2:6" x14ac:dyDescent="0.3">
      <c r="B40" s="14" t="s">
        <v>28</v>
      </c>
      <c r="C40" s="14"/>
      <c r="D40" s="14"/>
      <c r="E40" s="14"/>
      <c r="F40" s="14"/>
    </row>
    <row r="41" spans="2:6" x14ac:dyDescent="0.3">
      <c r="B41" s="14" t="s">
        <v>29</v>
      </c>
      <c r="C41" s="14"/>
      <c r="D41" s="14"/>
      <c r="E41" s="14"/>
      <c r="F41" s="14"/>
    </row>
    <row r="42" spans="2:6" x14ac:dyDescent="0.3">
      <c r="B42" s="14" t="s">
        <v>30</v>
      </c>
      <c r="C42" s="14"/>
      <c r="D42" s="14"/>
      <c r="E42" s="14"/>
      <c r="F42" s="14"/>
    </row>
    <row r="43" spans="2:6" x14ac:dyDescent="0.3">
      <c r="B43" s="14" t="s">
        <v>31</v>
      </c>
      <c r="C43" s="14"/>
      <c r="D43" s="14"/>
      <c r="E43" s="14"/>
      <c r="F43" s="14"/>
    </row>
    <row r="44" spans="2:6" x14ac:dyDescent="0.3">
      <c r="B44" s="14" t="s">
        <v>32</v>
      </c>
      <c r="C44" s="14"/>
      <c r="D44" s="14"/>
      <c r="E44" s="14"/>
      <c r="F44" s="14"/>
    </row>
    <row r="46" spans="2:6" x14ac:dyDescent="0.3">
      <c r="B46" s="14" t="s">
        <v>33</v>
      </c>
      <c r="C46" s="14"/>
      <c r="D46" s="14"/>
      <c r="E46" s="14"/>
      <c r="F46" s="14"/>
    </row>
    <row r="47" spans="2:6" x14ac:dyDescent="0.3">
      <c r="B47" s="14" t="s">
        <v>34</v>
      </c>
      <c r="C47" s="14"/>
      <c r="D47" s="14"/>
      <c r="E47" s="14"/>
      <c r="F47" s="14"/>
    </row>
    <row r="48" spans="2:6" x14ac:dyDescent="0.3">
      <c r="B48" s="14" t="s">
        <v>38</v>
      </c>
      <c r="C48" s="14"/>
      <c r="D48" s="14"/>
      <c r="E48" s="14"/>
      <c r="F48" s="14"/>
    </row>
    <row r="49" spans="2:8" x14ac:dyDescent="0.3">
      <c r="B49" s="14" t="s">
        <v>39</v>
      </c>
      <c r="C49" s="14"/>
      <c r="D49" s="14"/>
      <c r="E49" s="14"/>
      <c r="F49" s="14"/>
    </row>
    <row r="51" spans="2:8" x14ac:dyDescent="0.3">
      <c r="B51" s="14" t="s">
        <v>40</v>
      </c>
      <c r="C51" s="14"/>
      <c r="D51" s="14"/>
      <c r="E51" s="14"/>
      <c r="F51" s="14"/>
    </row>
    <row r="53" spans="2:8" x14ac:dyDescent="0.3">
      <c r="B53" s="14" t="s">
        <v>41</v>
      </c>
      <c r="C53" s="14"/>
      <c r="D53" s="14"/>
      <c r="E53" s="14"/>
      <c r="F53" s="14"/>
    </row>
    <row r="54" spans="2:8" x14ac:dyDescent="0.3">
      <c r="B54" s="14" t="s">
        <v>42</v>
      </c>
      <c r="C54" s="14"/>
      <c r="D54" s="14"/>
      <c r="E54" s="14"/>
      <c r="F54" s="14"/>
    </row>
    <row r="55" spans="2:8" x14ac:dyDescent="0.3">
      <c r="B55" s="13"/>
      <c r="C55" s="13"/>
      <c r="D55" s="13"/>
      <c r="E55" s="13"/>
      <c r="F55" s="13"/>
    </row>
    <row r="56" spans="2:8" x14ac:dyDescent="0.3">
      <c r="B56" s="14" t="s">
        <v>43</v>
      </c>
      <c r="C56" s="14"/>
      <c r="D56" s="14"/>
      <c r="E56" s="14"/>
      <c r="F56" s="14"/>
      <c r="G56" s="13"/>
    </row>
    <row r="57" spans="2:8" x14ac:dyDescent="0.3">
      <c r="B57" s="13"/>
      <c r="C57" s="13"/>
      <c r="D57" s="13"/>
      <c r="E57" s="13"/>
      <c r="F57" s="13"/>
      <c r="G57" s="13"/>
    </row>
    <row r="58" spans="2:8" x14ac:dyDescent="0.3">
      <c r="B58" s="14" t="s">
        <v>44</v>
      </c>
      <c r="C58" s="14"/>
      <c r="D58" s="14"/>
      <c r="E58" s="14"/>
      <c r="F58" s="14"/>
    </row>
    <row r="59" spans="2:8" x14ac:dyDescent="0.3">
      <c r="B59" s="14" t="s">
        <v>45</v>
      </c>
      <c r="C59" s="14"/>
      <c r="D59" s="14"/>
      <c r="E59" s="14"/>
      <c r="F59" s="14"/>
    </row>
    <row r="60" spans="2:8" x14ac:dyDescent="0.3">
      <c r="B60" s="14" t="s">
        <v>46</v>
      </c>
      <c r="C60" s="14"/>
      <c r="D60" s="14"/>
      <c r="E60" s="14"/>
      <c r="F60" s="14"/>
      <c r="H60" s="12"/>
    </row>
    <row r="61" spans="2:8" x14ac:dyDescent="0.3">
      <c r="B61" s="13"/>
      <c r="C61" s="13"/>
      <c r="D61" s="13"/>
      <c r="E61" s="13"/>
      <c r="F61" s="13"/>
      <c r="H61" s="12"/>
    </row>
    <row r="62" spans="2:8" x14ac:dyDescent="0.3">
      <c r="B62" s="14" t="s">
        <v>49</v>
      </c>
      <c r="C62" s="14"/>
      <c r="D62" s="14"/>
      <c r="E62" s="14"/>
      <c r="F62" s="14"/>
    </row>
    <row r="63" spans="2:8" x14ac:dyDescent="0.3">
      <c r="B63" s="18" t="str">
        <f>"IRR = "&amp;IRR(E34:E38)</f>
        <v>IRR = 0,458902575504396</v>
      </c>
      <c r="C63" s="18"/>
      <c r="D63" s="17" t="s">
        <v>48</v>
      </c>
      <c r="E63" s="17"/>
    </row>
    <row r="64" spans="2:8" x14ac:dyDescent="0.3">
      <c r="B64" s="18" t="s">
        <v>47</v>
      </c>
      <c r="C64" s="18"/>
      <c r="D64" s="18"/>
      <c r="E64" s="18"/>
      <c r="F64" s="18"/>
      <c r="G64" s="18"/>
    </row>
  </sheetData>
  <mergeCells count="37">
    <mergeCell ref="B64:G64"/>
    <mergeCell ref="B63:C63"/>
    <mergeCell ref="B54:F54"/>
    <mergeCell ref="B56:F56"/>
    <mergeCell ref="B58:F58"/>
    <mergeCell ref="B59:F59"/>
    <mergeCell ref="B60:F60"/>
    <mergeCell ref="B62:F62"/>
    <mergeCell ref="B53:F53"/>
    <mergeCell ref="B31:F31"/>
    <mergeCell ref="B40:F40"/>
    <mergeCell ref="B41:F41"/>
    <mergeCell ref="B42:F42"/>
    <mergeCell ref="B43:F43"/>
    <mergeCell ref="B44:F44"/>
    <mergeCell ref="B46:F46"/>
    <mergeCell ref="B47:F47"/>
    <mergeCell ref="B48:F48"/>
    <mergeCell ref="B49:F49"/>
    <mergeCell ref="B51:F51"/>
    <mergeCell ref="B29:F29"/>
    <mergeCell ref="B20:F20"/>
    <mergeCell ref="B17:F17"/>
    <mergeCell ref="B18:F18"/>
    <mergeCell ref="B19:F19"/>
    <mergeCell ref="B21:F21"/>
    <mergeCell ref="B22:F22"/>
    <mergeCell ref="B23:F23"/>
    <mergeCell ref="B25:F25"/>
    <mergeCell ref="B26:F26"/>
    <mergeCell ref="B27:F27"/>
    <mergeCell ref="B28:F28"/>
    <mergeCell ref="B11:F11"/>
    <mergeCell ref="B12:F12"/>
    <mergeCell ref="B13:F13"/>
    <mergeCell ref="B14:F14"/>
    <mergeCell ref="B2:F2"/>
  </mergeCells>
  <dataValidations count="1">
    <dataValidation type="decimal" operator="greaterThanOrEqual" allowBlank="1" showInputMessage="1" showErrorMessage="1" errorTitle="Invalid Entry" error="Please enter a positive numeric value (e.g., 1234,56)" sqref="C5:D9 C34:D38" xr:uid="{D0791DB1-D684-4D7E-A456-DA8AC201638A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6522-635A-4D31-80DE-B155C642CD64}">
  <dimension ref="B1:D5"/>
  <sheetViews>
    <sheetView workbookViewId="0">
      <selection activeCell="E10" sqref="E10"/>
    </sheetView>
  </sheetViews>
  <sheetFormatPr baseColWidth="10" defaultRowHeight="14.4" x14ac:dyDescent="0.3"/>
  <cols>
    <col min="1" max="1" width="5.6640625" customWidth="1"/>
    <col min="2" max="2" width="27.77734375" customWidth="1"/>
    <col min="3" max="4" width="16.6640625" customWidth="1"/>
  </cols>
  <sheetData>
    <row r="1" spans="2:4" ht="29.4" customHeight="1" thickBot="1" x14ac:dyDescent="0.35"/>
    <row r="2" spans="2:4" ht="30" customHeight="1" thickBot="1" x14ac:dyDescent="0.35">
      <c r="B2" s="1" t="s">
        <v>5</v>
      </c>
      <c r="C2" s="2" t="s">
        <v>6</v>
      </c>
      <c r="D2" s="2" t="s">
        <v>7</v>
      </c>
    </row>
    <row r="3" spans="2:4" ht="30" customHeight="1" thickBot="1" x14ac:dyDescent="0.35">
      <c r="B3" s="5" t="s">
        <v>8</v>
      </c>
      <c r="C3" s="6">
        <v>0.05</v>
      </c>
      <c r="D3" s="7" t="s">
        <v>9</v>
      </c>
    </row>
    <row r="4" spans="2:4" ht="30" customHeight="1" thickBot="1" x14ac:dyDescent="0.35">
      <c r="B4" s="8" t="s">
        <v>10</v>
      </c>
      <c r="C4" s="9">
        <v>22</v>
      </c>
      <c r="D4" s="9" t="s">
        <v>11</v>
      </c>
    </row>
    <row r="5" spans="2:4" ht="30" customHeight="1" thickBot="1" x14ac:dyDescent="0.35">
      <c r="B5" s="5" t="s">
        <v>12</v>
      </c>
      <c r="C5" s="6">
        <v>0.1</v>
      </c>
      <c r="D5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FeasibilityStudy</vt:lpstr>
      <vt:lpstr>ReferenceData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Shenchu</dc:creator>
  <cp:lastModifiedBy>Jin Shenchu</cp:lastModifiedBy>
  <dcterms:created xsi:type="dcterms:W3CDTF">2026-03-04T14:33:17Z</dcterms:created>
  <dcterms:modified xsi:type="dcterms:W3CDTF">2026-03-07T17:39:33Z</dcterms:modified>
</cp:coreProperties>
</file>